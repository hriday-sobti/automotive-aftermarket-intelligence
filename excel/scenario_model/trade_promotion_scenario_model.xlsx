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 Scenario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.00"/>
    <numFmt numFmtId="165" formatCode="0.0%"/>
    <numFmt numFmtId="166" formatCode="0.00x"/>
    <numFmt numFmtId="167" formatCode="#,##0 bps"/>
    <numFmt numFmtId="168" formatCode="₹#,##0"/>
  </numFmts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3" fontId="3" fillId="3" borderId="1" applyAlignment="1" pivotButton="0" quotePrefix="0" xfId="0">
      <alignment horizontal="right"/>
    </xf>
    <xf numFmtId="0" fontId="3" fillId="4" borderId="1" pivotButton="0" quotePrefix="0" xfId="0"/>
    <xf numFmtId="164" fontId="3" fillId="3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3" fillId="0" borderId="1" pivotButton="0" quotePrefix="0" xfId="0"/>
    <xf numFmtId="164" fontId="6" fillId="5" borderId="1" applyAlignment="1" pivotButton="0" quotePrefix="0" xfId="0">
      <alignment horizontal="right"/>
    </xf>
    <xf numFmtId="165" fontId="3" fillId="4" borderId="1" applyAlignment="1" pivotButton="0" quotePrefix="0" xfId="0">
      <alignment horizontal="center"/>
    </xf>
    <xf numFmtId="166" fontId="6" fillId="5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49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3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4" customWidth="1" min="4" max="4"/>
    <col width="4" customWidth="1" min="5" max="5"/>
    <col width="35" customWidth="1" min="6" max="6"/>
    <col width="20" customWidth="1" min="7" max="7"/>
    <col width="22" customWidth="1" min="8" max="8"/>
    <col width="22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Automotive Aftermarket Commercial Promotion Scenario Simulator</t>
        </is>
      </c>
    </row>
    <row r="3">
      <c r="B3" s="2" t="inlineStr">
        <is>
          <t>Interactive B2B trade discount sensitivity &amp; net incremental gross profit model</t>
        </is>
      </c>
    </row>
    <row r="5">
      <c r="B5" s="3" t="inlineStr">
        <is>
          <t>1. BASELINE ASSUMPTIONS (NON-PROMOTED)</t>
        </is>
      </c>
      <c r="F5" s="3" t="inlineStr">
        <is>
          <t>3. BASELINE VS. PROMOTION FINANCIAL RECONCILIATION</t>
        </is>
      </c>
    </row>
    <row r="6">
      <c r="B6" s="4" t="inlineStr">
        <is>
          <t>Baseline Period Units (Run-rate)</t>
        </is>
      </c>
      <c r="C6" s="5" t="n">
        <v>15000</v>
      </c>
      <c r="F6" s="6" t="inlineStr">
        <is>
          <t>Financial Metric</t>
        </is>
      </c>
      <c r="G6" s="6" t="inlineStr">
        <is>
          <t>Baseline Model</t>
        </is>
      </c>
      <c r="H6" s="6" t="inlineStr">
        <is>
          <t>Promoted Model</t>
        </is>
      </c>
      <c r="I6" s="6" t="inlineStr">
        <is>
          <t>Incremental Variance</t>
        </is>
      </c>
    </row>
    <row r="7">
      <c r="B7" s="4" t="inlineStr">
        <is>
          <t>Product List Price (₹)</t>
        </is>
      </c>
      <c r="C7" s="7" t="n">
        <v>1850</v>
      </c>
      <c r="F7" s="4" t="inlineStr">
        <is>
          <t>Total Units Sold</t>
        </is>
      </c>
      <c r="G7" s="8">
        <f>C6</f>
        <v/>
      </c>
      <c r="H7" s="8">
        <f>ROUND(C6*(1+C14), 0)</f>
        <v/>
      </c>
      <c r="I7" s="8">
        <f>H7-G7</f>
        <v/>
      </c>
    </row>
    <row r="8">
      <c r="B8" s="4" t="inlineStr">
        <is>
          <t>Unit Cost of Goods Sold (₹)</t>
        </is>
      </c>
      <c r="C8" s="7" t="n">
        <v>1150</v>
      </c>
      <c r="F8" s="4" t="inlineStr">
        <is>
          <t>Net Selling Price / Unit</t>
        </is>
      </c>
      <c r="G8" s="9">
        <f>C7*(1-C9)</f>
        <v/>
      </c>
      <c r="H8" s="9">
        <f>C7*(1-C13)</f>
        <v/>
      </c>
      <c r="I8" s="9">
        <f>H8-G8</f>
        <v/>
      </c>
    </row>
    <row r="9">
      <c r="B9" s="4" t="inlineStr">
        <is>
          <t>Standard Wholesale Trade Discount %</t>
        </is>
      </c>
      <c r="C9" s="10" t="n">
        <v>0.05</v>
      </c>
      <c r="F9" s="4" t="inlineStr">
        <is>
          <t>Gross Revenue</t>
        </is>
      </c>
      <c r="G9" s="9">
        <f>G7*G8</f>
        <v/>
      </c>
      <c r="H9" s="9">
        <f>H7*H8</f>
        <v/>
      </c>
      <c r="I9" s="9">
        <f>H9-G9</f>
        <v/>
      </c>
    </row>
    <row r="10">
      <c r="B10" s="4" t="inlineStr">
        <is>
          <t>Campaign Fixed Promotional Budget (₹)</t>
        </is>
      </c>
      <c r="C10" s="7" t="n">
        <v>350000</v>
      </c>
      <c r="F10" s="4" t="inlineStr">
        <is>
          <t>Total Cost of Goods Sold</t>
        </is>
      </c>
      <c r="G10" s="9">
        <f>G7*C8</f>
        <v/>
      </c>
      <c r="H10" s="9">
        <f>H7*C8</f>
        <v/>
      </c>
      <c r="I10" s="9">
        <f>H10-G10</f>
        <v/>
      </c>
    </row>
    <row r="11">
      <c r="F11" s="4" t="inlineStr">
        <is>
          <t>Gross Profit</t>
        </is>
      </c>
      <c r="G11" s="11">
        <f>G9-G10</f>
        <v/>
      </c>
      <c r="H11" s="11">
        <f>H9-H10</f>
        <v/>
      </c>
      <c r="I11" s="11">
        <f>H11-G11</f>
        <v/>
      </c>
    </row>
    <row r="12">
      <c r="B12" s="3" t="inlineStr">
        <is>
          <t>2. PROMOTIONAL PROPOSAL INPUTS</t>
        </is>
      </c>
      <c r="F12" s="4" t="inlineStr">
        <is>
          <t>Realized Gross Margin %</t>
        </is>
      </c>
      <c r="G12" s="12">
        <f>G11/G9</f>
        <v/>
      </c>
      <c r="H12" s="12">
        <f>H11/H9</f>
        <v/>
      </c>
      <c r="I12" s="12">
        <f>H12-G12</f>
        <v/>
      </c>
    </row>
    <row r="13">
      <c r="B13" s="4" t="inlineStr">
        <is>
          <t>Proposed Promotional Discount %</t>
        </is>
      </c>
      <c r="C13" s="10" t="n">
        <v>0.12</v>
      </c>
      <c r="F13" s="4" t="inlineStr">
        <is>
          <t>Trade Discount Concession Cost</t>
        </is>
      </c>
      <c r="G13" s="9">
        <f>G7*(C7-G8)</f>
        <v/>
      </c>
      <c r="H13" s="9">
        <f>H7*(C7-H8)</f>
        <v/>
      </c>
      <c r="I13" s="9">
        <f>H13-G13</f>
        <v/>
      </c>
    </row>
    <row r="14">
      <c r="B14" s="4" t="inlineStr">
        <is>
          <t>Expected Observed Volume Uplift %</t>
        </is>
      </c>
      <c r="C14" s="10" t="n">
        <v>0.28</v>
      </c>
      <c r="F14" s="4" t="inlineStr">
        <is>
          <t>Total Promotion Cost (Discount + Budget)</t>
        </is>
      </c>
      <c r="G14" s="9" t="inlineStr">
        <is>
          <t>₹0.00</t>
        </is>
      </c>
      <c r="H14" s="9">
        <f>H13+C10</f>
        <v/>
      </c>
      <c r="I14" s="9">
        <f>H14-G14</f>
        <v/>
      </c>
    </row>
    <row r="17">
      <c r="B17" s="3" t="inlineStr">
        <is>
          <t>4. EXECUTIVE DECISION EVALUATION</t>
        </is>
      </c>
      <c r="F17" s="3" t="inlineStr">
        <is>
          <t>5. SENSITIVITY TABLE: NET INCREMENTAL GROSS PROFIT (₹)</t>
        </is>
      </c>
    </row>
    <row r="18">
      <c r="B18" s="13" t="inlineStr">
        <is>
          <t>Net Incremental Gross Profit (₹)</t>
        </is>
      </c>
      <c r="C18" s="14">
        <f>I11</f>
        <v/>
      </c>
      <c r="F18" s="6" t="inlineStr">
        <is>
          <t>Discount \ Uplift</t>
        </is>
      </c>
      <c r="G18" s="15" t="n">
        <v>0.15</v>
      </c>
      <c r="H18" s="15" t="n">
        <v>0.2</v>
      </c>
      <c r="I18" s="15" t="n">
        <v>0.25</v>
      </c>
      <c r="J18" s="15" t="n">
        <v>0.3</v>
      </c>
      <c r="K18" s="15" t="n">
        <v>0.35</v>
      </c>
      <c r="L18" s="15" t="n">
        <v>0.4</v>
      </c>
    </row>
    <row r="19">
      <c r="B19" s="13" t="inlineStr">
        <is>
          <t>Promotion Effectiveness Index (PEI)</t>
        </is>
      </c>
      <c r="C19" s="16">
        <f>I11/H14</f>
        <v/>
      </c>
      <c r="F19" s="15" t="n">
        <v>0.08</v>
      </c>
      <c r="G19" s="17">
        <f>ROUND(($C$6*(1+G$18))*(($C$7*(1-$F19))-$C$8)-$G$11, 0)</f>
        <v/>
      </c>
      <c r="H19" s="17">
        <f>ROUND(($C$6*(1+H$18))*(($C$7*(1-$F19))-$C$8)-$G$11, 0)</f>
        <v/>
      </c>
      <c r="I19" s="17">
        <f>ROUND(($C$6*(1+I$18))*(($C$7*(1-$F19))-$C$8)-$G$11, 0)</f>
        <v/>
      </c>
      <c r="J19" s="17">
        <f>ROUND(($C$6*(1+J$18))*(($C$7*(1-$F19))-$C$8)-$G$11, 0)</f>
        <v/>
      </c>
      <c r="K19" s="17">
        <f>ROUND(($C$6*(1+K$18))*(($C$7*(1-$F19))-$C$8)-$G$11, 0)</f>
        <v/>
      </c>
      <c r="L19" s="17">
        <f>ROUND(($C$6*(1+L$18))*(($C$7*(1-$F19))-$C$8)-$G$11, 0)</f>
        <v/>
      </c>
    </row>
    <row r="20">
      <c r="B20" s="13" t="inlineStr">
        <is>
          <t>Gross Margin Dilution (Basis Points)</t>
        </is>
      </c>
      <c r="C20" s="18">
        <f>(G12-H12)*10000</f>
        <v/>
      </c>
      <c r="F20" s="15" t="n">
        <v>0.1</v>
      </c>
      <c r="G20" s="17">
        <f>ROUND(($C$6*(1+G$18))*(($C$7*(1-$F20))-$C$8)-$G$11, 0)</f>
        <v/>
      </c>
      <c r="H20" s="17">
        <f>ROUND(($C$6*(1+H$18))*(($C$7*(1-$F20))-$C$8)-$G$11, 0)</f>
        <v/>
      </c>
      <c r="I20" s="17">
        <f>ROUND(($C$6*(1+I$18))*(($C$7*(1-$F20))-$C$8)-$G$11, 0)</f>
        <v/>
      </c>
      <c r="J20" s="17">
        <f>ROUND(($C$6*(1+J$18))*(($C$7*(1-$F20))-$C$8)-$G$11, 0)</f>
        <v/>
      </c>
      <c r="K20" s="17">
        <f>ROUND(($C$6*(1+K$18))*(($C$7*(1-$F20))-$C$8)-$G$11, 0)</f>
        <v/>
      </c>
      <c r="L20" s="17">
        <f>ROUND(($C$6*(1+L$18))*(($C$7*(1-$F20))-$C$8)-$G$11, 0)</f>
        <v/>
      </c>
    </row>
    <row r="21">
      <c r="B21" s="13" t="inlineStr">
        <is>
          <t>Commercial Recommendation</t>
        </is>
      </c>
      <c r="C21" s="19">
        <f>IF(C19&gt;1.0, "APPROVE: Value Accretive", IF(C19&gt;0.0, "REVIEW: Volume Driver / Margin Dilutive", "REJECT: Value Destructive"))</f>
        <v/>
      </c>
      <c r="F21" s="15" t="n">
        <v>0.12</v>
      </c>
      <c r="G21" s="17">
        <f>ROUND(($C$6*(1+G$18))*(($C$7*(1-$F21))-$C$8)-$G$11, 0)</f>
        <v/>
      </c>
      <c r="H21" s="17">
        <f>ROUND(($C$6*(1+H$18))*(($C$7*(1-$F21))-$C$8)-$G$11, 0)</f>
        <v/>
      </c>
      <c r="I21" s="17">
        <f>ROUND(($C$6*(1+I$18))*(($C$7*(1-$F21))-$C$8)-$G$11, 0)</f>
        <v/>
      </c>
      <c r="J21" s="17">
        <f>ROUND(($C$6*(1+J$18))*(($C$7*(1-$F21))-$C$8)-$G$11, 0)</f>
        <v/>
      </c>
      <c r="K21" s="17">
        <f>ROUND(($C$6*(1+K$18))*(($C$7*(1-$F21))-$C$8)-$G$11, 0)</f>
        <v/>
      </c>
      <c r="L21" s="17">
        <f>ROUND(($C$6*(1+L$18))*(($C$7*(1-$F21))-$C$8)-$G$11, 0)</f>
        <v/>
      </c>
    </row>
    <row r="22">
      <c r="F22" s="15" t="n">
        <v>0.14</v>
      </c>
      <c r="G22" s="17">
        <f>ROUND(($C$6*(1+G$18))*(($C$7*(1-$F22))-$C$8)-$G$11, 0)</f>
        <v/>
      </c>
      <c r="H22" s="17">
        <f>ROUND(($C$6*(1+H$18))*(($C$7*(1-$F22))-$C$8)-$G$11, 0)</f>
        <v/>
      </c>
      <c r="I22" s="17">
        <f>ROUND(($C$6*(1+I$18))*(($C$7*(1-$F22))-$C$8)-$G$11, 0)</f>
        <v/>
      </c>
      <c r="J22" s="17">
        <f>ROUND(($C$6*(1+J$18))*(($C$7*(1-$F22))-$C$8)-$G$11, 0)</f>
        <v/>
      </c>
      <c r="K22" s="17">
        <f>ROUND(($C$6*(1+K$18))*(($C$7*(1-$F22))-$C$8)-$G$11, 0)</f>
        <v/>
      </c>
      <c r="L22" s="17">
        <f>ROUND(($C$6*(1+L$18))*(($C$7*(1-$F22))-$C$8)-$G$11, 0)</f>
        <v/>
      </c>
    </row>
    <row r="23">
      <c r="F23" s="15" t="n">
        <v>0.16</v>
      </c>
      <c r="G23" s="17">
        <f>ROUND(($C$6*(1+G$18))*(($C$7*(1-$F23))-$C$8)-$G$11, 0)</f>
        <v/>
      </c>
      <c r="H23" s="17">
        <f>ROUND(($C$6*(1+H$18))*(($C$7*(1-$F23))-$C$8)-$G$11, 0)</f>
        <v/>
      </c>
      <c r="I23" s="17">
        <f>ROUND(($C$6*(1+I$18))*(($C$7*(1-$F23))-$C$8)-$G$11, 0)</f>
        <v/>
      </c>
      <c r="J23" s="17">
        <f>ROUND(($C$6*(1+J$18))*(($C$7*(1-$F23))-$C$8)-$G$11, 0)</f>
        <v/>
      </c>
      <c r="K23" s="17">
        <f>ROUND(($C$6*(1+K$18))*(($C$7*(1-$F23))-$C$8)-$G$11, 0)</f>
        <v/>
      </c>
      <c r="L23" s="17">
        <f>ROUND(($C$6*(1+L$18))*(($C$7*(1-$F23))-$C$8)-$G$11, 0)</f>
        <v/>
      </c>
    </row>
  </sheetData>
  <mergeCells count="5">
    <mergeCell ref="B5:D5"/>
    <mergeCell ref="F17:L17"/>
    <mergeCell ref="F5:I5"/>
    <mergeCell ref="B17:D17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2026-09-20T18:35:02Z</dcterms:created>
  <dcterms:modified xmlns:dcterms="http://purl.org/dc/terms/" xmlns:xsi="http://www.w3.org/2001/XMLSchema-instance" xsi:type="dcterms:W3CDTF">2026-09-20T18:35:02Z</dcterms:modified>
</cp:coreProperties>
</file>